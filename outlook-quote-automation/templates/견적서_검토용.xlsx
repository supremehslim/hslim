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SMES\Downloads\"/>
    </mc:Choice>
  </mc:AlternateContent>
  <xr:revisionPtr revIDLastSave="0" documentId="13_ncr:1_{EF5E08AB-C498-41AF-8502-A2734AB31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" sheetId="31" r:id="rId1"/>
  </sheets>
  <definedNames>
    <definedName name="MODEL">#REF!</definedName>
    <definedName name="_xlnm.Print_Area" localSheetId="0">견적서!$A$1:$E$23</definedName>
    <definedName name="RANGE" localSheetId="0">#REF!</definedName>
    <definedName name="RANGE">#REF!</definedName>
    <definedName name="SERVER" localSheetId="0">#REF!</definedName>
    <definedName name="SERVER">#REF!</definedName>
    <definedName name="SM" localSheetId="0">#REF!</definedName>
    <definedName name="SM">#REF!</definedName>
    <definedName name="SVR">#REF!</definedName>
    <definedName name="SVRAG">#REF!</definedName>
    <definedName name="SVRDESC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31" l="1"/>
  <c r="E14" i="31" s="1"/>
  <c r="E15" i="31" l="1"/>
  <c r="E16" i="31"/>
</calcChain>
</file>

<file path=xl/sharedStrings.xml><?xml version="1.0" encoding="utf-8"?>
<sst xmlns="http://schemas.openxmlformats.org/spreadsheetml/2006/main" count="37" uniqueCount="36">
  <si>
    <t>Quotation</t>
    <phoneticPr fontId="3" type="noConversion"/>
  </si>
  <si>
    <t>서울시 성동구 아차산로 103 영동테크노타워 2101호
주식회사 제이앤지시스템        
(Tel : 82-2-3444-3570 , Fax : 82-2-3444-3575)</t>
    <phoneticPr fontId="3" type="noConversion"/>
  </si>
  <si>
    <t>◐견적일자 :</t>
    <phoneticPr fontId="3" type="noConversion"/>
  </si>
  <si>
    <t>◐영업담당 :</t>
    <phoneticPr fontId="3" type="noConversion"/>
  </si>
  <si>
    <t>임현섭 부장</t>
    <phoneticPr fontId="3" type="noConversion"/>
  </si>
  <si>
    <t>◐메      일 :</t>
    <phoneticPr fontId="3" type="noConversion"/>
  </si>
  <si>
    <t>hslim@jngsystem.co.kr</t>
    <phoneticPr fontId="3" type="noConversion"/>
  </si>
  <si>
    <t>◐연 락  처 :</t>
    <phoneticPr fontId="3" type="noConversion"/>
  </si>
  <si>
    <t>010-5095-5512</t>
    <phoneticPr fontId="3" type="noConversion"/>
  </si>
  <si>
    <t>02-3444-3572</t>
    <phoneticPr fontId="3" type="noConversion"/>
  </si>
  <si>
    <t>◐견적기간 :</t>
    <phoneticPr fontId="3" type="noConversion"/>
  </si>
  <si>
    <t>확인 필요</t>
  </si>
  <si>
    <r>
      <t xml:space="preserve">제품번호
</t>
    </r>
    <r>
      <rPr>
        <sz val="10"/>
        <color indexed="9"/>
        <rFont val="맑은 고딕"/>
        <family val="3"/>
        <charset val="129"/>
      </rPr>
      <t>Part No</t>
    </r>
    <phoneticPr fontId="3" type="noConversion"/>
  </si>
  <si>
    <r>
      <t xml:space="preserve">품 명
</t>
    </r>
    <r>
      <rPr>
        <sz val="10"/>
        <color indexed="9"/>
        <rFont val="맑은 고딕"/>
        <family val="3"/>
        <charset val="129"/>
      </rPr>
      <t xml:space="preserve">Product Description </t>
    </r>
    <phoneticPr fontId="3" type="noConversion"/>
  </si>
  <si>
    <r>
      <t xml:space="preserve">수량
</t>
    </r>
    <r>
      <rPr>
        <sz val="10"/>
        <color indexed="9"/>
        <rFont val="맑은 고딕"/>
        <family val="3"/>
        <charset val="129"/>
      </rPr>
      <t>Qty</t>
    </r>
    <phoneticPr fontId="3" type="noConversion"/>
  </si>
  <si>
    <r>
      <t xml:space="preserve">단가
</t>
    </r>
    <r>
      <rPr>
        <sz val="10"/>
        <color indexed="9"/>
        <rFont val="맑은 고딕"/>
        <family val="3"/>
        <charset val="129"/>
      </rPr>
      <t>Unit Price</t>
    </r>
    <phoneticPr fontId="3" type="noConversion"/>
  </si>
  <si>
    <r>
      <t xml:space="preserve">총 합계
</t>
    </r>
    <r>
      <rPr>
        <sz val="10"/>
        <color indexed="9"/>
        <rFont val="맑은 고딕"/>
        <family val="3"/>
        <charset val="129"/>
      </rPr>
      <t>Total  Amount</t>
    </r>
    <phoneticPr fontId="3" type="noConversion"/>
  </si>
  <si>
    <t>TEST-002</t>
  </si>
  <si>
    <t>메일 수신 자동화 테스트 제품</t>
  </si>
  <si>
    <t>ㅇ납      기 : 확인 필요</t>
  </si>
  <si>
    <t>공급가</t>
    <phoneticPr fontId="3" type="noConversion"/>
  </si>
  <si>
    <t>ㅇ결제조건 : 확인 필요</t>
  </si>
  <si>
    <t>부가세</t>
    <phoneticPr fontId="3" type="noConversion"/>
  </si>
  <si>
    <t>총합계</t>
    <phoneticPr fontId="3" type="noConversion"/>
  </si>
  <si>
    <t>ㅇ발주시 아래 내용을 기입하여 사업자사본과 함께 메일로 회신 또는 팩스(02-3444-3575)로 보내주시면 발주서로 인정됩니다.</t>
    <phoneticPr fontId="3" type="noConversion"/>
  </si>
  <si>
    <t>Signature</t>
    <phoneticPr fontId="3" type="noConversion"/>
  </si>
  <si>
    <t>ㅇ세금계산서 담당자 이메일 : jng@jngsystem.co.kr</t>
    <phoneticPr fontId="3" type="noConversion"/>
  </si>
  <si>
    <t>[발 주 서]</t>
    <phoneticPr fontId="3" type="noConversion"/>
  </si>
  <si>
    <t xml:space="preserve"> "위 내용을 확인하였으며 발주 합니다"</t>
    <phoneticPr fontId="3" type="noConversion"/>
  </si>
  <si>
    <t>ㅇ발주일자 :                     ㅇ납품희망일 :</t>
  </si>
  <si>
    <t xml:space="preserve">ㅇ발주담당 : </t>
  </si>
  <si>
    <t xml:space="preserve">ㅇ연락처 : </t>
  </si>
  <si>
    <t xml:space="preserve">◐고객사 : </t>
    <phoneticPr fontId="3" type="noConversion"/>
  </si>
  <si>
    <t xml:space="preserve">◐담   당 : </t>
    <phoneticPr fontId="3" type="noConversion"/>
  </si>
  <si>
    <t xml:space="preserve">◐메   일 : </t>
    <phoneticPr fontId="3" type="noConversion"/>
  </si>
  <si>
    <t xml:space="preserve">◐연락처 :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</si>
</sst>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₩&quot;#,##0;&quot;₩&quot;&quot;₩&quot;&quot;₩&quot;\-#,##0"/>
    <numFmt numFmtId="177" formatCode="0_);[Red]\(0\)"/>
  </numFmts>
  <fonts count="30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sz val="10"/>
      <name val="Arial"/>
      <family val="2"/>
    </font>
    <font>
      <sz val="10"/>
      <name val="명조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8"/>
      <name val="Times New Roman"/>
      <family val="1"/>
    </font>
    <font>
      <b/>
      <sz val="10"/>
      <color indexed="30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8"/>
      <color indexed="2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30"/>
      <color rgb="FF0070C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>
      <alignment vertical="center"/>
    </xf>
    <xf numFmtId="0" fontId="2" fillId="0" borderId="0"/>
    <xf numFmtId="0" fontId="6" fillId="0" borderId="0"/>
    <xf numFmtId="0" fontId="1" fillId="0" borderId="0" applyFill="0" applyBorder="0" applyAlignment="0"/>
    <xf numFmtId="0" fontId="8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5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5" fillId="2" borderId="3" applyNumberFormat="0" applyBorder="0" applyAlignment="0" applyProtection="0"/>
    <xf numFmtId="0" fontId="11" fillId="0" borderId="4"/>
    <xf numFmtId="176" fontId="12" fillId="0" borderId="0"/>
    <xf numFmtId="0" fontId="13" fillId="0" borderId="0"/>
    <xf numFmtId="10" fontId="6" fillId="0" borderId="0" applyFont="0" applyFill="0" applyBorder="0" applyAlignment="0" applyProtection="0"/>
    <xf numFmtId="0" fontId="11" fillId="0" borderId="0"/>
    <xf numFmtId="0" fontId="2" fillId="0" borderId="0"/>
    <xf numFmtId="0" fontId="7" fillId="0" borderId="5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2">
    <xf numFmtId="0" fontId="0" fillId="0" borderId="0" xfId="0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/>
    </xf>
    <xf numFmtId="0" fontId="19" fillId="0" borderId="0" xfId="0" applyFont="1">
      <alignment vertical="center"/>
    </xf>
    <xf numFmtId="0" fontId="19" fillId="0" borderId="6" xfId="0" applyFont="1" applyBorder="1">
      <alignment vertical="center"/>
    </xf>
    <xf numFmtId="0" fontId="17" fillId="0" borderId="7" xfId="0" applyFont="1" applyBorder="1">
      <alignment vertical="center"/>
    </xf>
    <xf numFmtId="0" fontId="19" fillId="0" borderId="8" xfId="0" applyFont="1" applyBorder="1">
      <alignment vertical="center"/>
    </xf>
    <xf numFmtId="0" fontId="19" fillId="0" borderId="9" xfId="0" applyFont="1" applyBorder="1">
      <alignment vertical="center"/>
    </xf>
    <xf numFmtId="0" fontId="19" fillId="0" borderId="4" xfId="0" applyFont="1" applyBorder="1">
      <alignment vertical="center"/>
    </xf>
    <xf numFmtId="0" fontId="20" fillId="0" borderId="10" xfId="0" applyFont="1" applyBorder="1">
      <alignment vertical="center"/>
    </xf>
    <xf numFmtId="0" fontId="20" fillId="0" borderId="8" xfId="0" applyFont="1" applyBorder="1">
      <alignment vertical="center"/>
    </xf>
    <xf numFmtId="0" fontId="17" fillId="0" borderId="9" xfId="0" applyFont="1" applyBorder="1">
      <alignment vertical="center"/>
    </xf>
    <xf numFmtId="0" fontId="17" fillId="0" borderId="11" xfId="0" applyFont="1" applyBorder="1">
      <alignment vertical="center"/>
    </xf>
    <xf numFmtId="0" fontId="17" fillId="0" borderId="1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17" fillId="0" borderId="4" xfId="0" applyFont="1" applyBorder="1">
      <alignment vertical="center"/>
    </xf>
    <xf numFmtId="0" fontId="22" fillId="0" borderId="6" xfId="0" applyFont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23" fillId="3" borderId="16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7" fillId="0" borderId="19" xfId="0" applyFont="1" applyBorder="1">
      <alignment vertical="center"/>
    </xf>
    <xf numFmtId="0" fontId="4" fillId="0" borderId="0" xfId="24" applyAlignment="1" applyProtection="1">
      <alignment horizontal="left" vertical="center"/>
    </xf>
    <xf numFmtId="0" fontId="24" fillId="0" borderId="0" xfId="0" applyFont="1" applyAlignment="1">
      <alignment horizontal="right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41" fontId="17" fillId="0" borderId="13" xfId="0" applyNumberFormat="1" applyFont="1" applyBorder="1">
      <alignment vertical="center"/>
    </xf>
    <xf numFmtId="41" fontId="17" fillId="0" borderId="14" xfId="0" applyNumberFormat="1" applyFont="1" applyBorder="1">
      <alignment vertical="center"/>
    </xf>
    <xf numFmtId="177" fontId="29" fillId="0" borderId="15" xfId="0" applyNumberFormat="1" applyFont="1" applyBorder="1" applyAlignment="1">
      <alignment horizontal="center" vertical="center"/>
    </xf>
    <xf numFmtId="41" fontId="29" fillId="0" borderId="15" xfId="21" applyNumberFormat="1" applyFont="1" applyBorder="1" applyAlignment="1">
      <alignment vertical="center"/>
    </xf>
    <xf numFmtId="41" fontId="29" fillId="0" borderId="21" xfId="0" applyNumberFormat="1" applyFont="1" applyBorder="1">
      <alignment vertical="center"/>
    </xf>
    <xf numFmtId="0" fontId="27" fillId="0" borderId="22" xfId="0" applyFont="1" applyBorder="1" applyAlignment="1">
      <alignment horizontal="center" vertical="center"/>
    </xf>
    <xf numFmtId="0" fontId="28" fillId="0" borderId="0" xfId="0" quotePrefix="1" applyFont="1" applyAlignment="1">
      <alignment vertical="center" wrapText="1"/>
    </xf>
    <xf numFmtId="0" fontId="16" fillId="3" borderId="2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20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wrapText="1"/>
    </xf>
  </cellXfs>
  <cellStyles count="26">
    <cellStyle name="_Intel" xfId="1" xr:uid="{00000000-0005-0000-0000-000000000000}"/>
    <cellStyle name="_제이엔지시스템(SB3163SA-2061-케비넷)박장훈사장님(발송)060516(2)" xfId="2" xr:uid="{00000000-0005-0000-0000-000001000000}"/>
    <cellStyle name="Calc Currency (0)" xfId="3" xr:uid="{00000000-0005-0000-0000-000002000000}"/>
    <cellStyle name="category" xfId="4" xr:uid="{00000000-0005-0000-0000-000003000000}"/>
    <cellStyle name="Comma [0]_500700서버 2003년 4월 가격표1" xfId="5" xr:uid="{00000000-0005-0000-0000-000004000000}"/>
    <cellStyle name="Comma_500700서버 2003년 4월 가격표1" xfId="6" xr:uid="{00000000-0005-0000-0000-000005000000}"/>
    <cellStyle name="Grey" xfId="7" xr:uid="{00000000-0005-0000-0000-000006000000}"/>
    <cellStyle name="HEADER" xfId="8" xr:uid="{00000000-0005-0000-0000-000007000000}"/>
    <cellStyle name="Header1" xfId="9" xr:uid="{00000000-0005-0000-0000-000008000000}"/>
    <cellStyle name="Header2" xfId="10" xr:uid="{00000000-0005-0000-0000-000009000000}"/>
    <cellStyle name="Input [yellow]" xfId="11" xr:uid="{00000000-0005-0000-0000-00000A000000}"/>
    <cellStyle name="Model" xfId="12" xr:uid="{00000000-0005-0000-0000-00000B000000}"/>
    <cellStyle name="Normal - Style1" xfId="13" xr:uid="{00000000-0005-0000-0000-00000C000000}"/>
    <cellStyle name="Normal_#10-Headcount" xfId="14" xr:uid="{00000000-0005-0000-0000-00000D000000}"/>
    <cellStyle name="Percent [2]" xfId="15" xr:uid="{00000000-0005-0000-0000-00000F000000}"/>
    <cellStyle name="subhead" xfId="16" xr:uid="{00000000-0005-0000-0000-000010000000}"/>
    <cellStyle name="스타일 1" xfId="17" xr:uid="{00000000-0005-0000-0000-000012000000}"/>
    <cellStyle name="안건회계법인" xfId="18" xr:uid="{00000000-0005-0000-0000-000013000000}"/>
    <cellStyle name="콤마 [0]_5월" xfId="19" xr:uid="{00000000-0005-0000-0000-000015000000}"/>
    <cellStyle name="콤마_5월" xfId="20" xr:uid="{00000000-0005-0000-0000-000016000000}"/>
    <cellStyle name="통화 [0]" xfId="21" builtinId="7"/>
    <cellStyle name="표준" xfId="0" builtinId="0"/>
    <cellStyle name="표준 2" xfId="22" xr:uid="{00000000-0005-0000-0000-000019000000}"/>
    <cellStyle name="표준 3" xfId="25" xr:uid="{5C0EA75D-77AA-4E0F-89CA-BCDC31A51074}"/>
    <cellStyle name="표준 6" xfId="23" xr:uid="{00000000-0005-0000-0000-00001A000000}"/>
    <cellStyle name="하이퍼링크" xfId="2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85725</xdr:rowOff>
    </xdr:from>
    <xdr:to>
      <xdr:col>4</xdr:col>
      <xdr:colOff>895350</xdr:colOff>
      <xdr:row>1</xdr:row>
      <xdr:rowOff>447675</xdr:rowOff>
    </xdr:to>
    <xdr:pic>
      <xdr:nvPicPr>
        <xdr:cNvPr id="2" name="그림 6" descr="JNG로고.png">
          <a:extLst>
            <a:ext uri="{FF2B5EF4-FFF2-40B4-BE49-F238E27FC236}">
              <a16:creationId xmlns:a16="http://schemas.microsoft.com/office/drawing/2014/main" id="{01877B19-78D4-4434-B421-D0757071B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685800"/>
          <a:ext cx="895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76200</xdr:colOff>
      <xdr:row>1</xdr:row>
      <xdr:rowOff>28575</xdr:rowOff>
    </xdr:from>
    <xdr:to>
      <xdr:col>2</xdr:col>
      <xdr:colOff>552450</xdr:colOff>
      <xdr:row>1</xdr:row>
      <xdr:rowOff>504825</xdr:rowOff>
    </xdr:to>
    <xdr:pic>
      <xdr:nvPicPr>
        <xdr:cNvPr id="3" name="그림 7">
          <a:extLst>
            <a:ext uri="{FF2B5EF4-FFF2-40B4-BE49-F238E27FC236}">
              <a16:creationId xmlns:a16="http://schemas.microsoft.com/office/drawing/2014/main" id="{6D0606D4-AB54-41DC-9CB4-175BBEA2A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628650"/>
          <a:ext cx="4762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slim@jng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E3B8-0B66-446D-9E26-BF6AD2136D26}">
  <sheetPr>
    <pageSetUpPr fitToPage="1"/>
  </sheetPr>
  <dimension ref="A1:E25"/>
  <sheetViews>
    <sheetView tabSelected="1" zoomScaleNormal="100" workbookViewId="0">
      <selection activeCell="B7" sqref="B7"/>
    </sheetView>
  </sheetViews>
  <sheetFormatPr defaultRowHeight="16.5"/>
  <cols>
    <col min="1" max="1" width="17.77734375" style="1" customWidth="1"/>
    <col min="2" max="2" width="46.88671875" style="1" customWidth="1"/>
    <col min="3" max="3" width="7.44140625" style="1" customWidth="1"/>
    <col min="4" max="4" width="12.21875" style="1" customWidth="1"/>
    <col min="5" max="5" width="15.44140625" style="1" customWidth="1"/>
    <col min="6" max="6" width="2.44140625" style="1" customWidth="1"/>
    <col min="7" max="7" width="8.88671875" style="1"/>
    <col min="8" max="8" width="9.5546875" style="1" bestFit="1" customWidth="1"/>
    <col min="9" max="16384" width="8.88671875" style="1"/>
  </cols>
  <sheetData>
    <row r="1" spans="1:5" ht="47.25" customHeight="1" thickBot="1">
      <c r="A1" s="40" t="s">
        <v>0</v>
      </c>
      <c r="B1" s="40"/>
      <c r="C1" s="40"/>
      <c r="D1" s="40"/>
      <c r="E1" s="40"/>
    </row>
    <row r="2" spans="1:5" ht="40.5" customHeight="1" thickTop="1">
      <c r="A2" s="41" t="s">
        <v>1</v>
      </c>
      <c r="B2" s="41"/>
      <c r="C2" s="41"/>
      <c r="D2" s="41"/>
      <c r="E2" s="41"/>
    </row>
    <row r="3" spans="1:5" ht="31.5" customHeight="1">
      <c r="B3" s="2"/>
    </row>
    <row r="4" spans="1:5" ht="15.75" customHeight="1">
      <c r="A4" s="14"/>
      <c r="C4" s="22" t="s">
        <v>2</v>
      </c>
      <c r="D4" s="23">
        <v>46321</v>
      </c>
    </row>
    <row r="5" spans="1:5" ht="15.75" customHeight="1">
      <c r="A5" s="14" t="s">
        <v>32</v>
      </c>
      <c r="B5"/>
      <c r="C5" s="22" t="s">
        <v>3</v>
      </c>
      <c r="D5" s="24" t="s">
        <v>4</v>
      </c>
    </row>
    <row r="6" spans="1:5" ht="15.75" customHeight="1">
      <c r="A6" s="14" t="s">
        <v>33</v>
      </c>
      <c r="B6"/>
      <c r="C6" s="22" t="s">
        <v>5</v>
      </c>
      <c r="D6" s="26" t="s">
        <v>6</v>
      </c>
    </row>
    <row r="7" spans="1:5" ht="15.75" customHeight="1">
      <c r="A7" s="14" t="s">
        <v>34</v>
      </c>
      <c r="B7"/>
      <c r="C7" s="22" t="s">
        <v>7</v>
      </c>
      <c r="D7" s="24" t="s">
        <v>8</v>
      </c>
      <c r="E7" s="24" t="s">
        <v>9</v>
      </c>
    </row>
    <row r="8" spans="1:5" ht="15.75" customHeight="1">
      <c r="A8" s="14" t="s">
        <v>35</v>
      </c>
      <c r="B8"/>
      <c r="C8" s="22" t="s">
        <v>10</v>
      </c>
      <c r="D8" s="24" t="s">
        <v>11</v>
      </c>
    </row>
    <row r="9" spans="1:5" ht="15.75" customHeight="1" thickBot="1">
      <c r="A9"/>
      <c r="B9"/>
      <c r="C9" s="15"/>
      <c r="D9" s="3"/>
      <c r="E9" s="27"/>
    </row>
    <row r="10" spans="1:5" ht="29.1" customHeight="1" thickBot="1">
      <c r="A10" s="19" t="s">
        <v>12</v>
      </c>
      <c r="B10" s="20" t="s">
        <v>13</v>
      </c>
      <c r="C10" s="20" t="s">
        <v>14</v>
      </c>
      <c r="D10" s="20" t="s">
        <v>15</v>
      </c>
      <c r="E10" s="21" t="s">
        <v>16</v>
      </c>
    </row>
    <row r="11" spans="1:5">
      <c r="A11" s="35" t="s">
        <v>17</v>
      </c>
      <c r="B11" s="36" t="s">
        <v>18</v>
      </c>
      <c r="C11" s="32">
        <v>3</v>
      </c>
      <c r="D11" s="33" t="s">
        <v>11</v>
      </c>
      <c r="E11" s="34" t="str">
        <f>IF(AND(ISNUMBER(C11),ISNUMBER(D11),C11&gt;0,D11&gt;=0),ROUND(C11*D11,0),"확인 필요")</f>
        <v>확인 필요</v>
      </c>
    </row>
    <row r="12" spans="1:5">
      <c r="A12" s="35"/>
      <c r="B12" s="36"/>
      <c r="C12" s="32"/>
      <c r="D12" s="33"/>
      <c r="E12" s="34"/>
    </row>
    <row r="13" spans="1:5">
      <c r="A13" s="35"/>
      <c r="B13" s="36"/>
      <c r="C13" s="32"/>
      <c r="D13" s="33"/>
      <c r="E13" s="34"/>
    </row>
    <row r="14" spans="1:5">
      <c r="A14" s="9" t="s">
        <v>19</v>
      </c>
      <c r="B14" s="25"/>
      <c r="C14" s="25"/>
      <c r="D14" s="28" t="s">
        <v>20</v>
      </c>
      <c r="E14" s="30" t="str">
        <f>IF(COUNT(E11:E11)=1,SUM(E11:E11),"확인 필요")</f>
        <v>확인 필요</v>
      </c>
    </row>
    <row r="15" spans="1:5">
      <c r="A15" s="10" t="s">
        <v>21</v>
      </c>
      <c r="D15" s="28" t="s">
        <v>22</v>
      </c>
      <c r="E15" s="30" t="str">
        <f>IF(ISNUMBER(E14),ROUND(E14*0.1,0),"확인 필요")</f>
        <v>확인 필요</v>
      </c>
    </row>
    <row r="16" spans="1:5" ht="17.25" thickBot="1">
      <c r="A16" s="11"/>
      <c r="B16" s="16"/>
      <c r="C16" s="16"/>
      <c r="D16" s="29" t="s">
        <v>23</v>
      </c>
      <c r="E16" s="31" t="str">
        <f>IF(AND(ISNUMBER(E14),ISNUMBER(E15)),SUM(E14:E15),"확인 필요")</f>
        <v>확인 필요</v>
      </c>
    </row>
    <row r="17" spans="1:5" ht="17.25" thickBot="1"/>
    <row r="18" spans="1:5">
      <c r="A18" s="4" t="s">
        <v>24</v>
      </c>
      <c r="B18" s="5"/>
      <c r="C18" s="5"/>
      <c r="D18" s="5"/>
      <c r="E18" s="37" t="s">
        <v>25</v>
      </c>
    </row>
    <row r="19" spans="1:5" ht="17.25" thickBot="1">
      <c r="A19" s="6" t="s">
        <v>26</v>
      </c>
      <c r="E19" s="38"/>
    </row>
    <row r="20" spans="1:5">
      <c r="A20" s="17" t="s">
        <v>27</v>
      </c>
      <c r="B20" s="18" t="s">
        <v>28</v>
      </c>
      <c r="C20" s="5"/>
      <c r="D20" s="5"/>
      <c r="E20" s="12"/>
    </row>
    <row r="21" spans="1:5">
      <c r="A21" s="6"/>
      <c r="B21" s="3"/>
      <c r="E21" s="12"/>
    </row>
    <row r="22" spans="1:5">
      <c r="A22" s="6" t="s">
        <v>29</v>
      </c>
      <c r="B22" s="3"/>
      <c r="E22" s="12"/>
    </row>
    <row r="23" spans="1:5" ht="17.25" thickBot="1">
      <c r="A23" s="7" t="s">
        <v>30</v>
      </c>
      <c r="B23" s="8" t="s">
        <v>31</v>
      </c>
      <c r="C23" s="16"/>
      <c r="D23" s="16"/>
      <c r="E23" s="13"/>
    </row>
    <row r="25" spans="1:5">
      <c r="B25" s="39"/>
      <c r="C25" s="39"/>
      <c r="D25" s="39"/>
    </row>
  </sheetData>
  <mergeCells count="4">
    <mergeCell ref="E18:E19"/>
    <mergeCell ref="B25:D25"/>
    <mergeCell ref="A1:E1"/>
    <mergeCell ref="A2:E2"/>
  </mergeCells>
  <phoneticPr fontId="3" type="noConversion"/>
  <hyperlinks>
    <hyperlink ref="D6" r:id="rId1" xr:uid="{03E48B80-796C-4ADE-B7D8-695083F39E71}"/>
  </hyperlinks>
  <pageMargins left="0.70866141732283472" right="0.70866141732283472" top="0.74803149606299213" bottom="0.74803149606299213" header="0.31496062992125984" footer="0.31496062992125984"/>
  <pageSetup paperSize="9" scale="7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BS25Z2GN5BHVPE6HCRBI7VMBOKOPPQ6W:ms-officescript%3A%2F%2Fonedrive_business_sharinglink%2Fu!aHR0cHM6Ly9qbmdzeXN0ZW0tbXkuc2hhcmVwb2ludC5jb20vOnU6L2cvcGVyc29uYWwvaHNsaW1fam5nc3lzdGVtX2NvX2tyL0lRRE42RTlYazhjVVFvX1ZnWEtjOThQV0FjR0VQUEJCanBOcDhVN1FyZUJZa1BV"/>
</scriptIds>
</file>

<file path=customXml/itemProps1.xml><?xml version="1.0" encoding="utf-8"?>
<ds:datastoreItem xmlns:ds="http://schemas.openxmlformats.org/officeDocument/2006/customXml" ds:itemID="{EF390028-4352-4A79-9CB3-4C87778C32C3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박장훈</dc:creator>
  <cp:keywords/>
  <dc:description/>
  <cp:lastModifiedBy>KOSMES</cp:lastModifiedBy>
  <cp:revision/>
  <dcterms:created xsi:type="dcterms:W3CDTF">2004-05-11T08:30:01Z</dcterms:created>
  <dcterms:modified xsi:type="dcterms:W3CDTF">2026-10-27T02:50:24Z</dcterms:modified>
  <cp:category/>
  <cp:contentStatus/>
</cp:coreProperties>
</file>