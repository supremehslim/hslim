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MODEL">#REF!</definedName>
    <definedName name="RANGE">#REF!</definedName>
    <definedName name="SERVER">#REF!</definedName>
    <definedName name="SM">#REF!</definedName>
    <definedName name="SVR">#REF!</definedName>
    <definedName name="SVRAG">#REF!</definedName>
    <definedName name="SVRDESC">#REF!</definedName>
    <definedName name="RANGE" localSheetId="0">#REF!</definedName>
    <definedName name="SERVER" localSheetId="0">#REF!</definedName>
    <definedName name="SM" localSheetId="0">#REF!</definedName>
    <definedName name="_xlnm.Print_Area" localSheetId="0">'견적서'!$A$1:$E$26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_);[Red]\(0\)"/>
    <numFmt numFmtId="166" formatCode="&quot;₩&quot;#,##0;&quot;₩&quot;&quot;₩&quot;&quot;₩&quot;\-#,##0"/>
  </numFmts>
  <fonts count="30">
    <font>
      <name val="돋움"/>
      <charset val="129"/>
      <family val="3"/>
      <sz val="11"/>
    </font>
    <font>
      <name val="돋움"/>
      <charset val="129"/>
      <family val="3"/>
      <sz val="11"/>
    </font>
    <font>
      <name val="Helv"/>
      <family val="2"/>
      <sz val="10"/>
    </font>
    <font>
      <name val="돋움"/>
      <charset val="129"/>
      <family val="3"/>
      <sz val="8"/>
    </font>
    <font>
      <name val="돋움"/>
      <charset val="129"/>
      <family val="3"/>
      <color indexed="12"/>
      <sz val="11"/>
      <u val="single"/>
    </font>
    <font>
      <name val="Arial"/>
      <family val="2"/>
      <sz val="8"/>
    </font>
    <font>
      <name val="Arial"/>
      <family val="2"/>
      <sz val="10"/>
    </font>
    <font>
      <name val="명조"/>
      <charset val="129"/>
      <family val="3"/>
      <sz val="10"/>
    </font>
    <font>
      <name val="Helv"/>
      <family val="2"/>
      <b val="1"/>
      <sz val="10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family val="2"/>
      <b val="1"/>
      <sz val="11"/>
    </font>
    <font>
      <name val="바탕체"/>
      <charset val="129"/>
      <family val="1"/>
      <sz val="12"/>
    </font>
    <font>
      <name val="Times New Roman"/>
      <family val="1"/>
      <sz val="8"/>
    </font>
    <font>
      <name val="맑은 고딕"/>
      <charset val="129"/>
      <family val="3"/>
      <b val="1"/>
      <color indexed="30"/>
      <sz val="10"/>
    </font>
    <font>
      <name val="맑은 고딕"/>
      <charset val="129"/>
      <family val="3"/>
      <color indexed="9"/>
      <sz val="10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indexed="23"/>
      <sz val="28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color rgb="FF0070C0"/>
      <sz val="30"/>
      <scheme val="minor"/>
    </font>
    <font>
      <name val="맑은 고딕"/>
      <charset val="129"/>
      <family val="3"/>
      <b val="1"/>
      <sz val="10"/>
      <u val="single"/>
      <scheme val="minor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color theme="1"/>
      <sz val="11"/>
      <scheme val="major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6">
    <xf numFmtId="0" fontId="1" fillId="0" borderId="0" applyAlignment="1">
      <alignment vertical="center"/>
    </xf>
    <xf numFmtId="0" fontId="2" fillId="0" borderId="0"/>
    <xf numFmtId="0" fontId="6" fillId="0" borderId="0"/>
    <xf numFmtId="0" fontId="1" fillId="0" borderId="0"/>
    <xf numFmtId="0" fontId="8" fillId="0" borderId="0"/>
    <xf numFmtId="41" fontId="1" fillId="0" borderId="0"/>
    <xf numFmtId="43" fontId="1" fillId="0" borderId="0"/>
    <xf numFmtId="38" fontId="5" fillId="2" borderId="0"/>
    <xf numFmtId="0" fontId="9" fillId="0" borderId="0" applyAlignment="1">
      <alignment horizontal="left"/>
    </xf>
    <xf numFmtId="0" fontId="10" fillId="0" borderId="1" applyAlignment="1">
      <alignment horizontal="left" vertical="center"/>
    </xf>
    <xf numFmtId="0" fontId="10" fillId="0" borderId="2" applyAlignment="1">
      <alignment horizontal="left" vertical="center"/>
    </xf>
    <xf numFmtId="10" fontId="5" fillId="2" borderId="3"/>
    <xf numFmtId="0" fontId="11" fillId="0" borderId="4"/>
    <xf numFmtId="166" fontId="12" fillId="0" borderId="0"/>
    <xf numFmtId="0" fontId="13" fillId="0" borderId="0"/>
    <xf numFmtId="10" fontId="6" fillId="0" borderId="0"/>
    <xf numFmtId="0" fontId="11" fillId="0" borderId="0"/>
    <xf numFmtId="0" fontId="2" fillId="0" borderId="0"/>
    <xf numFmtId="0" fontId="7" fillId="0" borderId="5"/>
    <xf numFmtId="41" fontId="1" fillId="0" borderId="0"/>
    <xf numFmtId="43" fontId="1" fillId="0" borderId="0"/>
    <xf numFmtId="42" fontId="1" fillId="0" borderId="0" applyAlignment="1">
      <alignment vertical="center"/>
    </xf>
    <xf numFmtId="0" fontId="1" fillId="0" borderId="0"/>
    <xf numFmtId="0" fontId="1" fillId="0" borderId="0"/>
    <xf numFmtId="0" fontId="4" fillId="0" borderId="0" applyAlignment="1" applyProtection="1">
      <alignment vertical="top"/>
      <protection locked="0" hidden="0"/>
    </xf>
    <xf numFmtId="0" fontId="1" fillId="0" borderId="0"/>
  </cellStyleXfs>
  <cellXfs count="54"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left"/>
    </xf>
    <xf numFmtId="0" fontId="19" fillId="0" borderId="0" applyAlignment="1" pivotButton="0" quotePrefix="0" xfId="0">
      <alignment vertical="center"/>
    </xf>
    <xf numFmtId="0" fontId="19" fillId="0" borderId="6" applyAlignment="1" pivotButton="0" quotePrefix="0" xfId="0">
      <alignment vertical="center"/>
    </xf>
    <xf numFmtId="0" fontId="17" fillId="0" borderId="7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19" fillId="0" borderId="9" applyAlignment="1" pivotButton="0" quotePrefix="0" xfId="0">
      <alignment vertical="center"/>
    </xf>
    <xf numFmtId="0" fontId="19" fillId="0" borderId="4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0" fontId="17" fillId="0" borderId="9" applyAlignment="1" pivotButton="0" quotePrefix="0" xfId="0">
      <alignment vertical="center"/>
    </xf>
    <xf numFmtId="0" fontId="17" fillId="0" borderId="11" applyAlignment="1" pivotButton="0" quotePrefix="0" xfId="0">
      <alignment vertical="center"/>
    </xf>
    <xf numFmtId="0" fontId="17" fillId="0" borderId="12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right" vertical="center"/>
    </xf>
    <xf numFmtId="0" fontId="17" fillId="0" borderId="4" applyAlignment="1" pivotButton="0" quotePrefix="0" xfId="0">
      <alignment vertical="center"/>
    </xf>
    <xf numFmtId="0" fontId="22" fillId="0" borderId="6" applyAlignment="1" pivotButton="0" quotePrefix="0" xfId="0">
      <alignment horizontal="center" vertical="center"/>
    </xf>
    <xf numFmtId="0" fontId="19" fillId="0" borderId="7" applyAlignment="1" pivotButton="0" quotePrefix="0" xfId="0">
      <alignment vertical="center"/>
    </xf>
    <xf numFmtId="0" fontId="23" fillId="3" borderId="16" applyAlignment="1" pivotButton="0" quotePrefix="0" xfId="0">
      <alignment horizontal="center" vertical="center" wrapText="1"/>
    </xf>
    <xf numFmtId="0" fontId="23" fillId="3" borderId="17" applyAlignment="1" pivotButton="0" quotePrefix="0" xfId="0">
      <alignment horizontal="center" vertical="center" wrapText="1"/>
    </xf>
    <xf numFmtId="0" fontId="23" fillId="3" borderId="18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14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7" fillId="0" borderId="19" applyAlignment="1" pivotButton="0" quotePrefix="0" xfId="0">
      <alignment vertical="center"/>
    </xf>
    <xf numFmtId="0" fontId="4" fillId="0" borderId="0" applyAlignment="1" pivotButton="0" quotePrefix="0" xfId="24">
      <alignment horizontal="left" vertical="center"/>
    </xf>
    <xf numFmtId="0" fontId="24" fillId="0" borderId="0" applyAlignment="1" pivotButton="0" quotePrefix="0" xfId="0">
      <alignment horizontal="right" vertical="center"/>
    </xf>
    <xf numFmtId="0" fontId="16" fillId="3" borderId="3" applyAlignment="1" pivotButton="0" quotePrefix="0" xfId="0">
      <alignment horizontal="center" vertical="center"/>
    </xf>
    <xf numFmtId="0" fontId="16" fillId="3" borderId="25" applyAlignment="1" pivotButton="0" quotePrefix="0" xfId="0">
      <alignment horizontal="center" vertical="center"/>
    </xf>
    <xf numFmtId="164" fontId="17" fillId="0" borderId="13" applyAlignment="1" pivotButton="0" quotePrefix="0" xfId="0">
      <alignment vertical="center"/>
    </xf>
    <xf numFmtId="164" fontId="17" fillId="0" borderId="14" applyAlignment="1" pivotButton="0" quotePrefix="0" xfId="0">
      <alignment vertical="center"/>
    </xf>
    <xf numFmtId="165" fontId="29" fillId="0" borderId="15" applyAlignment="1" pivotButton="0" quotePrefix="0" xfId="0">
      <alignment horizontal="center" vertical="center"/>
    </xf>
    <xf numFmtId="164" fontId="29" fillId="0" borderId="15" applyAlignment="1" pivotButton="0" quotePrefix="0" xfId="21">
      <alignment vertical="center"/>
    </xf>
    <xf numFmtId="164" fontId="29" fillId="0" borderId="21" applyAlignment="1" pivotButton="0" quotePrefix="0" xfId="0">
      <alignment vertical="center"/>
    </xf>
    <xf numFmtId="0" fontId="27" fillId="0" borderId="22" applyAlignment="1" pivotButton="0" quotePrefix="0" xfId="0">
      <alignment horizontal="center" vertical="center"/>
    </xf>
    <xf numFmtId="0" fontId="28" fillId="0" borderId="0" applyAlignment="1" pivotButton="0" quotePrefix="1" xfId="0">
      <alignment vertical="center" wrapText="1"/>
    </xf>
    <xf numFmtId="0" fontId="16" fillId="3" borderId="24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/>
    </xf>
    <xf numFmtId="0" fontId="21" fillId="0" borderId="2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0" pivotButton="0" quotePrefix="0" xfId="0"/>
    <xf numFmtId="0" fontId="0" fillId="0" borderId="23" pivotButton="0" quotePrefix="0" xfId="0"/>
    <xf numFmtId="165" fontId="29" fillId="0" borderId="15" applyAlignment="1" pivotButton="0" quotePrefix="0" xfId="0">
      <alignment horizontal="center" vertical="center"/>
    </xf>
    <xf numFmtId="3" fontId="29" fillId="0" borderId="15" applyAlignment="1" pivotButton="0" quotePrefix="0" xfId="21">
      <alignment vertical="center"/>
    </xf>
    <xf numFmtId="3" fontId="29" fillId="0" borderId="21" applyAlignment="1" pivotButton="0" quotePrefix="0" xfId="0">
      <alignment vertical="center"/>
    </xf>
    <xf numFmtId="164" fontId="29" fillId="0" borderId="15" applyAlignment="1" pivotButton="0" quotePrefix="0" xfId="21">
      <alignment vertical="center"/>
    </xf>
    <xf numFmtId="164" fontId="29" fillId="0" borderId="21" applyAlignment="1" pivotButton="0" quotePrefix="0" xfId="0">
      <alignment vertical="center"/>
    </xf>
    <xf numFmtId="164" fontId="17" fillId="0" borderId="13" applyAlignment="1" pivotButton="0" quotePrefix="0" xfId="0">
      <alignment vertical="center"/>
    </xf>
    <xf numFmtId="164" fontId="17" fillId="0" borderId="14" applyAlignment="1" pivotButton="0" quotePrefix="0" xfId="0">
      <alignment vertical="center"/>
    </xf>
    <xf numFmtId="0" fontId="16" fillId="3" borderId="26" applyAlignment="1" pivotButton="0" quotePrefix="0" xfId="0">
      <alignment horizontal="center" vertical="center"/>
    </xf>
    <xf numFmtId="0" fontId="0" fillId="0" borderId="12" pivotButton="0" quotePrefix="0" xfId="0"/>
  </cellXfs>
  <cellStyles count="26">
    <cellStyle name="표준" xfId="0" builtinId="0"/>
    <cellStyle name="_Intel" xfId="1"/>
    <cellStyle name="_제이엔지시스템(SB3163SA-2061-케비넷)박장훈사장님(발송)060516(2)" xfId="2"/>
    <cellStyle name="Calc Currency (0)" xfId="3"/>
    <cellStyle name="category" xfId="4"/>
    <cellStyle name="Comma [0]_500700서버 2003년 4월 가격표1" xfId="5"/>
    <cellStyle name="Comma_500700서버 2003년 4월 가격표1" xfId="6"/>
    <cellStyle name="Grey" xfId="7"/>
    <cellStyle name="HEADER" xfId="8"/>
    <cellStyle name="Header1" xfId="9"/>
    <cellStyle name="Header2" xfId="10"/>
    <cellStyle name="Input [yellow]" xfId="11"/>
    <cellStyle name="Model" xfId="12"/>
    <cellStyle name="Normal - Style1" xfId="13"/>
    <cellStyle name="Normal_#10-Headcount" xfId="14"/>
    <cellStyle name="Percent [2]" xfId="15"/>
    <cellStyle name="subhead" xfId="16"/>
    <cellStyle name="스타일 1" xfId="17"/>
    <cellStyle name="안건회계법인" xfId="18"/>
    <cellStyle name="콤마 [0]_5월" xfId="19"/>
    <cellStyle name="콤마_5월" xfId="20"/>
    <cellStyle name="통화 [0]" xfId="21" builtinId="7"/>
    <cellStyle name="표준 2" xfId="22"/>
    <cellStyle name="표준 6" xfId="23"/>
    <cellStyle name="하이퍼링크" xfId="24" builtinId="8"/>
    <cellStyle name="표준 3" xfId="2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견적 자동화</author>
  </authors>
  <commentList>
    <comment ref="D11" authorId="0" shapeId="0">
      <text>
        <t>테스트 데이터: 실제 검색가가 아닙니다.
공개 판매가 검색 기반 참고 견적</t>
      </text>
    </comment>
    <comment ref="D12" authorId="0" shapeId="0">
      <text>
        <t>공개 판매가 검색 기반 참고 견적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4</col>
      <colOff>0</colOff>
      <row>1</row>
      <rowOff>85725</rowOff>
    </from>
    <to>
      <col>4</col>
      <colOff>895350</colOff>
      <row>1</row>
      <rowOff>447675</rowOff>
    </to>
    <pic>
      <nvPicPr>
        <cNvPr id="2" name="그림 6" descr="JNG로고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29475" y="685800"/>
          <a:ext cx="895350" cy="361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2</col>
      <colOff>76200</colOff>
      <row>1</row>
      <rowOff>28575</rowOff>
    </from>
    <to>
      <col>2</col>
      <colOff>552450</colOff>
      <row>1</row>
      <rowOff>504825</rowOff>
    </to>
    <pic>
      <nvPicPr>
        <cNvPr id="3" name="그림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619750" y="628650"/>
          <a:ext cx="476250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hslim@jngsystem.co.kr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26"/>
  <ns0:sheetViews>
    <ns0:sheetView tabSelected="1" zoomScaleNormal="100" workbookViewId="0">
      <ns0:selection activeCell="B7" sqref="B7"/>
    </ns0:sheetView>
  </ns0:sheetViews>
  <ns0:sheetFormatPr baseColWidth="8" defaultRowHeight="16.5"/>
  <ns0:cols>
    <ns0:col width="17.77734375" customWidth="1" style="1" min="1" max="1"/>
    <ns0:col width="46.88671875" customWidth="1" style="1" min="2" max="2"/>
    <ns0:col width="7.44140625" customWidth="1" style="1" min="3" max="3"/>
    <ns0:col width="12.21875" customWidth="1" style="1" min="4" max="4"/>
    <ns0:col width="15.44140625" customWidth="1" style="1" min="5" max="5"/>
    <ns0:col width="2.44140625" customWidth="1" style="1" min="6" max="6"/>
    <ns0:col width="8.88671875" customWidth="1" style="1" min="7" max="7"/>
    <ns0:col width="9.5546875" bestFit="1" customWidth="1" style="1" min="8" max="8"/>
    <ns0:col width="8.88671875" customWidth="1" style="1" min="9" max="16384"/>
  </ns0:cols>
  <ns0:sheetData>
    <ns0:row r="1" ht="47.25" customHeight="1" s="42" thickBot="1">
      <ns0:c r="A1" s="40" t="inlineStr">
        <ns0:is>
          <ns0:t>Quotation</ns0:t>
        </ns0:is>
      </ns0:c>
      <ns0:c r="B1" s="43" t="n"/>
      <ns0:c r="C1" s="43" t="n"/>
      <ns0:c r="D1" s="43" t="n"/>
      <ns0:c r="E1" s="43" t="n"/>
    </ns0:row>
    <ns0:row r="2" ht="40.5" customHeight="1" s="42" thickTop="1">
      <ns0:c r="A2" s="41" t="inlineStr">
        <ns0:is>
          <ns0:t>서울시 성동구 아차산로 103 영동테크노타워 2101호
주식회사 제이앤지시스템        
(Tel : 82-2-3444-3570 , Fax : 82-2-3444-3575)</ns0:t>
        </ns0:is>
      </ns0:c>
      <ns0:c r="B2" s="44" t="n"/>
      <ns0:c r="C2" s="44" t="n"/>
      <ns0:c r="D2" s="44" t="n"/>
      <ns0:c r="E2" s="44" t="n"/>
    </ns0:row>
    <ns0:row r="3" ht="31.5" customHeight="1" s="42">
      <ns0:c r="B3" s="2" t="n"/>
    </ns0:row>
    <ns0:row r="4" ht="15.75" customHeight="1" s="42">
      <ns0:c r="A4" s="14" t="n"/>
      <ns0:c r="C4" s="22" t="inlineStr">
        <ns0:is>
          <ns0:t>◐견적일자 :</ns0:t>
        </ns0:is>
      </ns0:c>
      <ns0:c r="D4" s="23" t="n">
        <ns0:v>46322.62041186907</ns0:v>
      </ns0:c>
    </ns0:row>
    <ns0:row r="5" ht="15.75" customHeight="1" s="42">
      <ns0:c r="A5" s="14" t="inlineStr">
        <ns0:is>
          <ns0:t xml:space="preserve">◐고객사 : </ns0:t>
        </ns0:is>
      </ns0:c>
      <ns0:c r="B5" s="0" t="inlineStr">
        <ns0:is>
          <ns0:t>데모 고객사</ns0:t>
        </ns0:is>
      </ns0:c>
      <ns0:c r="C5" s="22" t="inlineStr">
        <ns0:is>
          <ns0:t>◐영업담당 :</ns0:t>
        </ns0:is>
      </ns0:c>
      <ns0:c r="D5" s="24" t="inlineStr">
        <ns0:is>
          <ns0:t>임현섭 부장</ns0:t>
        </ns0:is>
      </ns0:c>
    </ns0:row>
    <ns0:row r="6" ht="15.75" customHeight="1" s="42">
      <ns0:c r="A6" s="14" t="inlineStr">
        <ns0:is>
          <ns0:t xml:space="preserve">◐담   당 : </ns0:t>
        </ns0:is>
      </ns0:c>
      <ns0:c r="B6" s="0" t="inlineStr">
        <ns0:is>
          <ns0:t>테스트 담당자</ns0:t>
        </ns0:is>
      </ns0:c>
      <ns0:c r="C6" s="22" t="inlineStr">
        <ns0:is>
          <ns0:t>◐메      일 :</ns0:t>
        </ns0:is>
      </ns0:c>
      <ns0:c r="D6" s="26" t="inlineStr">
        <ns0:is>
          <ns0:t>hslim@jngsystem.co.kr</ns0:t>
        </ns0:is>
      </ns0:c>
    </ns0:row>
    <ns0:row r="7" ht="15.75" customHeight="1" s="42">
      <ns0:c r="A7" s="14" t="inlineStr">
        <ns0:is>
          <ns0:t xml:space="preserve">◐메   일 : </ns0:t>
        </ns0:is>
      </ns0:c>
      <ns0:c r="B7" s="0" t="inlineStr">
        <ns0:is>
          <ns0:t>customer@example.test</ns0:t>
        </ns0:is>
      </ns0:c>
      <ns0:c r="C7" s="22" t="inlineStr">
        <ns0:is>
          <ns0:t>◐연 락  처 :</ns0:t>
        </ns0:is>
      </ns0:c>
      <ns0:c r="D7" s="24" t="inlineStr">
        <ns0:is>
          <ns0:t>010-5095-5512</ns0:t>
        </ns0:is>
      </ns0:c>
      <ns0:c r="E7" s="24" t="inlineStr">
        <ns0:is>
          <ns0:t>02-3444-3572</ns0:t>
        </ns0:is>
      </ns0:c>
    </ns0:row>
    <ns0:row r="8" ht="15.75" customHeight="1" s="42">
      <ns0:c r="A8" s="14" t="inlineStr">
        <ns0:is>
          <ns0:t xml:space="preserve">◐연락처 : </ns0:t>
        </ns0:is>
      </ns0:c>
      <ns0:c r="B8" s="0" t="inlineStr">
        <ns0:is>
          <ns0:t>확인필요</ns0:t>
        </ns0:is>
      </ns0:c>
      <ns0:c r="C8" s="22" t="inlineStr">
        <ns0:is>
          <ns0:t>◐견적기간 :</ns0:t>
        </ns0:is>
      </ns0:c>
      <ns0:c r="D8" s="24" t="inlineStr">
        <ns0:is>
          <ns0:t>발행일로부터 30일 (참고 견적)</ns0:t>
        </ns0:is>
      </ns0:c>
    </ns0:row>
    <ns0:row r="9" ht="15.75" customHeight="1" s="42" thickBot="1">
      <ns0:c r="A9" s="0" t="n"/>
      <ns0:c r="B9" s="0" t="n"/>
      <ns0:c r="C9" s="15" t="n"/>
      <ns0:c r="D9" s="3" t="n"/>
      <ns0:c r="E9" s="27" t="n"/>
    </ns0:row>
    <ns0:row r="10" ht="29.1" customHeight="1" s="42" thickBot="1">
      <ns0:c r="A10" s="19" t="inlineStr">
        <ns0:is>
          <ns0:t>제품번호
Part No</ns0:t>
        </ns0:is>
      </ns0:c>
      <ns0:c r="B10" s="20" t="inlineStr">
        <ns0:is>
          <ns0:t xml:space="preserve">품 명
Product Description </ns0:t>
        </ns0:is>
      </ns0:c>
      <ns0:c r="C10" s="20" t="inlineStr">
        <ns0:is>
          <ns0:t>수량
Qty</ns0:t>
        </ns0:is>
      </ns0:c>
      <ns0:c r="D10" s="20" t="inlineStr">
        <ns0:is>
          <ns0:t>단가
Unit Price</ns0:t>
        </ns0:is>
      </ns0:c>
      <ns0:c r="E10" s="21" t="inlineStr">
        <ns0:is>
          <ns0:t>총 합계
Total  Amount</ns0:t>
        </ns0:is>
      </ns0:c>
    </ns0:row>
    <ns0:row r="11" ht="35" customHeight="1" s="42">
      <ns0:c r="A11" s="35" t="inlineStr">
        <ns0:is>
          <ns0:t>TEST-002</ns0:t>
        </ns0:is>
      </ns0:c>
      <ns0:c r="B11" s="36" t="inlineStr">
        <ns0:is>
          <ns0:t>자동화 동작 확인용 가상 품목 (실제 가격 아님)</ns0:t>
        </ns0:is>
      </ns0:c>
      <ns0:c r="C11" s="45" t="n">
        <ns0:v>3</ns0:v>
      </ns0:c>
      <ns0:c r="D11" s="46" t="n">
        <ns0:v>11000</ns0:v>
      </ns0:c>
      <ns0:c r="E11" s="47">
        <ns0:f>IF(AND(ISNUMBER(C11),ISNUMBER(D11),C11&gt;0,D11&gt;=0),ROUND(C11*D11,0),"확인필요")</ns0:f>
        <ns0:v>33000</ns0:v>
      </ns0:c>
    </ns0:row>
    <ns0:row r="12" ht="35" customHeight="1" s="42">
      <ns0:c r="A12" s="35" t="inlineStr">
        <ns0:is>
          <ns0:t>UNKNOWN-001</ns0:t>
        </ns0:is>
      </ns0:c>
      <ns0:c r="B12" s="36" t="inlineStr">
        <ns0:is>
          <ns0:t>검색 결과 없는 경우의 표시 예시</ns0:t>
        </ns0:is>
      </ns0:c>
      <ns0:c r="C12" s="45" t="n">
        <ns0:v>2</ns0:v>
      </ns0:c>
      <ns0:c r="D12" s="46" t="inlineStr">
        <ns0:is>
          <ns0:t>확인필요</ns0:t>
        </ns0:is>
      </ns0:c>
      <ns0:c r="E12" s="47" t="str">
        <ns0:f>IF(AND(ISNUMBER(C12),ISNUMBER(D12),C12&gt;0,D12&gt;=0),ROUND(C12*D12,0),"확인필요")</ns0:f>
        <ns0:v>확인필요</ns0:v>
      </ns0:c>
    </ns0:row>
    <ns0:row r="13">
      <ns0:c r="A13" s="35" t="n"/>
      <ns0:c r="B13" s="36" t="n"/>
      <ns0:c r="C13" s="45" t="n"/>
      <ns0:c r="D13" s="48" t="n"/>
      <ns0:c r="E13" s="49" t="n"/>
    </ns0:row>
    <ns0:row r="14">
      <ns0:c r="A14" s="35" t="n"/>
      <ns0:c r="B14" s="36" t="n"/>
      <ns0:c r="C14" s="45" t="n"/>
      <ns0:c r="D14" s="48" t="n"/>
      <ns0:c r="E14" s="49" t="n"/>
    </ns0:row>
    <ns0:row r="15">
      <ns0:c r="A15" s="9" t="inlineStr">
        <ns0:is>
          <ns0:t>ㅇ납      기 : 확인 필요</ns0:t>
        </ns0:is>
      </ns0:c>
      <ns0:c r="B15" s="25" t="n"/>
      <ns0:c r="C15" s="25" t="n"/>
      <ns0:c r="D15" s="28" t="inlineStr">
        <ns0:is>
          <ns0:t>공급가</ns0:t>
        </ns0:is>
      </ns0:c>
      <ns0:c r="E15" s="50" t="str">
        <ns0:f>IF(COUNT(E11:E12)=2,SUM(E11:E12),"확인필요")</ns0:f>
        <ns0:v>확인필요</ns0:v>
      </ns0:c>
    </ns0:row>
    <ns0:row r="16" ht="17.25" customHeight="1" s="42" thickBot="1">
      <ns0:c r="A16" s="10" t="inlineStr">
        <ns0:is>
          <ns0:t>ㅇ결제조건 : 확인 필요</ns0:t>
        </ns0:is>
      </ns0:c>
      <ns0:c r="D16" s="28" t="inlineStr">
        <ns0:is>
          <ns0:t>부가세</ns0:t>
        </ns0:is>
      </ns0:c>
      <ns0:c r="E16" s="50" t="str">
        <ns0:f>IF(ISNUMBER(E15),ROUND(E15*0.1,0),"확인필요")</ns0:f>
        <ns0:v>확인필요</ns0:v>
      </ns0:c>
    </ns0:row>
    <ns0:row r="17" ht="17.25" customHeight="1" s="42" thickBot="1">
      <ns0:c r="A17" s="11" t="n"/>
      <ns0:c r="B17" s="16" t="n"/>
      <ns0:c r="C17" s="16" t="n"/>
      <ns0:c r="D17" s="29" t="inlineStr">
        <ns0:is>
          <ns0:t>총합계</ns0:t>
        </ns0:is>
      </ns0:c>
      <ns0:c r="E17" s="51" t="str">
        <ns0:f>IF(AND(ISNUMBER(E15),ISNUMBER(E16)),SUM(E15:E16),"확인필요")</ns0:f>
        <ns0:v>확인필요</ns0:v>
      </ns0:c>
    </ns0:row>
    <ns0:row r="18" ht="17.25" customHeight="1" s="42" thickBot="1"/>
    <ns0:row r="19" ht="17.25" customHeight="1" s="42" thickBot="1">
      <ns0:c r="A19" s="4" t="inlineStr">
        <ns0:is>
          <ns0:t>ㅇ발주시 아래 내용을 기입하여 사업자사본과 함께 메일로 회신 또는 팩스(02-3444-3575)로 보내주시면 발주서로 인정됩니다.</ns0:t>
        </ns0:is>
      </ns0:c>
      <ns0:c r="B19" s="5" t="n"/>
      <ns0:c r="C19" s="5" t="n"/>
      <ns0:c r="D19" s="5" t="n"/>
      <ns0:c r="E19" s="52" t="inlineStr">
        <ns0:is>
          <ns0:t>Signature</ns0:t>
        </ns0:is>
      </ns0:c>
    </ns0:row>
    <ns0:row r="20" ht="17.25" customHeight="1" s="42" thickBot="1">
      <ns0:c r="A20" s="6" t="inlineStr">
        <ns0:is>
          <ns0:t>ㅇ세금계산서 담당자 이메일 : jng@jngsystem.co.kr</ns0:t>
        </ns0:is>
      </ns0:c>
      <ns0:c r="E20" s="53" t="n"/>
    </ns0:row>
    <ns0:row r="21">
      <ns0:c r="A21" s="17" t="inlineStr">
        <ns0:is>
          <ns0:t>[발 주 서]</ns0:t>
        </ns0:is>
      </ns0:c>
      <ns0:c r="B21" s="18" t="inlineStr">
        <ns0:is>
          <ns0:t xml:space="preserve"> "위 내용을 확인하였으며 발주 합니다"</ns0:t>
        </ns0:is>
      </ns0:c>
      <ns0:c r="C21" s="5" t="n"/>
      <ns0:c r="D21" s="5" t="n"/>
      <ns0:c r="E21" s="12" t="n"/>
    </ns0:row>
    <ns0:row r="22">
      <ns0:c r="A22" s="6" t="n"/>
      <ns0:c r="B22" s="3" t="n"/>
      <ns0:c r="E22" s="12" t="n"/>
    </ns0:row>
    <ns0:row r="23" ht="17.25" customHeight="1" s="42" thickBot="1">
      <ns0:c r="A23" s="6" t="inlineStr">
        <ns0:is>
          <ns0:t>ㅇ발주일자 :                     ㅇ납품희망일 :</ns0:t>
        </ns0:is>
      </ns0:c>
      <ns0:c r="B23" s="3" t="n"/>
      <ns0:c r="E23" s="12" t="n"/>
    </ns0:row>
    <ns0:row r="24" ht="17.25" customHeight="1" s="42" thickBot="1">
      <ns0:c r="A24" s="7" t="inlineStr">
        <ns0:is>
          <ns0:t xml:space="preserve">ㅇ발주담당 : </ns0:t>
        </ns0:is>
      </ns0:c>
      <ns0:c r="B24" s="8" t="inlineStr">
        <ns0:is>
          <ns0:t xml:space="preserve">ㅇ연락처 : </ns0:t>
        </ns0:is>
      </ns0:c>
      <ns0:c r="C24" s="16" t="n"/>
      <ns0:c r="D24" s="16" t="n"/>
      <ns0:c r="E24" s="13" t="n"/>
    </ns0:row>
    <ns0:row r="25"/>
    <ns0:row r="26">
      <ns0:c r="B26" s="39" t="n"/>
    </ns0:row>
  </ns0:sheetData>
  <ns0:mergeCells count="4">
    <ns0:mergeCell ref="B26:D26"/>
    <ns0:mergeCell ref="A1:E1"/>
    <ns0:mergeCell ref="E19:E20"/>
    <ns0:mergeCell ref="A2:E2"/>
  </ns0:mergeCells>
  <ns0:hyperlinks>
    <ns0:hyperlink ref="D6" ns1:id="rId1"/>
  </ns0:hyperlinks>
  <ns0:pageMargins left="0.7086614173228347" right="0.7086614173228347" top="0.7480314960629921" bottom="0.7480314960629921" header="0.3149606299212598" footer="0.3149606299212598"/>
  <ns0:pageSetup orientation="portrait" paperSize="9" scale="70" fitToHeight="0" fitToWidth="1"/>
  <ns0:drawing ns1:id="rId2"/>
  <ns0:legacyDrawing ns1:id="anysvml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박장훈</dc:creator>
  <dcterms:created xmlns:dcterms="http://purl.org/dc/terms/" xmlns:xsi="http://www.w3.org/2001/XMLSchema-instance" xsi:type="dcterms:W3CDTF">2004-05-11T08:30:01Z</dcterms:created>
  <dcterms:modified xmlns:dcterms="http://purl.org/dc/terms/" xmlns:xsi="http://www.w3.org/2001/XMLSchema-instance" xsi:type="dcterms:W3CDTF">2026-10-27T05:53:23Z</dcterms:modified>
  <cp:lastModifiedBy>KOSMES</cp:lastModifiedBy>
</cp:coreProperties>
</file>